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us\Documents\studia\przetwarzanie duzych zbiorow danych\"/>
    </mc:Choice>
  </mc:AlternateContent>
  <xr:revisionPtr revIDLastSave="0" documentId="13_ncr:1_{CDBFC28E-9216-4DE8-911A-66B51080166A}" xr6:coauthVersionLast="47" xr6:coauthVersionMax="47" xr10:uidLastSave="{00000000-0000-0000-0000-000000000000}"/>
  <bookViews>
    <workbookView xWindow="-120" yWindow="-120" windowWidth="29040" windowHeight="15720" activeTab="3" xr2:uid="{E935D762-960A-49F0-8617-53D977AAE7F4}"/>
  </bookViews>
  <sheets>
    <sheet name="ACLED" sheetId="1" r:id="rId1"/>
    <sheet name="UNHCR" sheetId="2" r:id="rId2"/>
    <sheet name="UN_COMTRADE" sheetId="3" r:id="rId3"/>
    <sheet name="wynikow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18" i="3"/>
  <c r="B20" i="3"/>
  <c r="B19" i="3"/>
  <c r="B13" i="3"/>
  <c r="B12" i="3"/>
  <c r="B11" i="3"/>
  <c r="B10" i="3"/>
  <c r="C25" i="1"/>
  <c r="B41" i="2"/>
  <c r="B40" i="2"/>
  <c r="B39" i="2"/>
  <c r="B38" i="2"/>
  <c r="B37" i="2"/>
  <c r="B31" i="2"/>
  <c r="B30" i="2"/>
  <c r="A4" i="2"/>
  <c r="B23" i="2"/>
  <c r="B22" i="2"/>
  <c r="B21" i="2"/>
  <c r="B20" i="2"/>
  <c r="B19" i="1"/>
</calcChain>
</file>

<file path=xl/sharedStrings.xml><?xml version="1.0" encoding="utf-8"?>
<sst xmlns="http://schemas.openxmlformats.org/spreadsheetml/2006/main" count="166" uniqueCount="65">
  <si>
    <t>event_date</t>
  </si>
  <si>
    <t>iso3</t>
  </si>
  <si>
    <t>event_type</t>
  </si>
  <si>
    <t>fatalities</t>
  </si>
  <si>
    <t>z1</t>
  </si>
  <si>
    <t>year</t>
  </si>
  <si>
    <t>event_count</t>
  </si>
  <si>
    <t>fatalities_sum</t>
  </si>
  <si>
    <t>2015.01.01</t>
  </si>
  <si>
    <t>2015.01.02</t>
  </si>
  <si>
    <t>2015.01.03</t>
  </si>
  <si>
    <t>2015.01.04</t>
  </si>
  <si>
    <t>2015.01.05</t>
  </si>
  <si>
    <t>2015.01.06</t>
  </si>
  <si>
    <t>UKR</t>
  </si>
  <si>
    <t>Battles</t>
  </si>
  <si>
    <t>Explosions</t>
  </si>
  <si>
    <t>Violence against cyvilians</t>
  </si>
  <si>
    <t>2015.01.07</t>
  </si>
  <si>
    <t>2015.01.08</t>
  </si>
  <si>
    <t>Strategic Developments</t>
  </si>
  <si>
    <t>Riots</t>
  </si>
  <si>
    <t>p1.1</t>
  </si>
  <si>
    <t>p1.0</t>
  </si>
  <si>
    <t>conflict_intensity</t>
  </si>
  <si>
    <t>z2.1</t>
  </si>
  <si>
    <t>coo_id</t>
  </si>
  <si>
    <t>refugees</t>
  </si>
  <si>
    <t>idps</t>
  </si>
  <si>
    <t>z2.2</t>
  </si>
  <si>
    <t>total</t>
  </si>
  <si>
    <t>m_18_59</t>
  </si>
  <si>
    <t>PL</t>
  </si>
  <si>
    <t>p2.1</t>
  </si>
  <si>
    <t>idps_z_roku_poprzedniego</t>
  </si>
  <si>
    <t>p2.2</t>
  </si>
  <si>
    <t>p2.12</t>
  </si>
  <si>
    <t>fit_for_duty_refugees_pct</t>
  </si>
  <si>
    <t>percent_diff_refugees</t>
  </si>
  <si>
    <t>percent_diff_idps</t>
  </si>
  <si>
    <t>refugees_z_roku_poprzedniego</t>
  </si>
  <si>
    <t>z3</t>
  </si>
  <si>
    <t>reporterISO</t>
  </si>
  <si>
    <t>refYear</t>
  </si>
  <si>
    <t>cmdCode</t>
  </si>
  <si>
    <t>primaryValue</t>
  </si>
  <si>
    <t>p3.0</t>
  </si>
  <si>
    <t>trade_total</t>
  </si>
  <si>
    <t>fuel_value</t>
  </si>
  <si>
    <t>grain_value</t>
  </si>
  <si>
    <t>gun_value</t>
  </si>
  <si>
    <t>p3.1</t>
  </si>
  <si>
    <t>fuel_share</t>
  </si>
  <si>
    <t>grain_share</t>
  </si>
  <si>
    <t>gun_share</t>
  </si>
  <si>
    <t>p3.2</t>
  </si>
  <si>
    <t>p3.3</t>
  </si>
  <si>
    <t>avg_fuel_next5y</t>
  </si>
  <si>
    <t>avg_grain_next5y</t>
  </si>
  <si>
    <t>avg_gun_next5y</t>
  </si>
  <si>
    <t>tutaj srednia z kolejnych 5 lat</t>
  </si>
  <si>
    <t>conflict_quartile</t>
  </si>
  <si>
    <t>fuel_share_diffavg_next5y</t>
  </si>
  <si>
    <t>grain_share_diffavg_next5y</t>
  </si>
  <si>
    <t>gun_share_diffavg_next5y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</si>
</sst>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D73F-6014-4C29-9609-A81E2E8F5DCC}">
  <dimension ref="A3:J26"/>
  <sheetViews>
    <sheetView workbookViewId="0">
      <selection activeCell="C26" sqref="C26"/>
    </sheetView>
  </sheetViews>
  <sheetFormatPr defaultRowHeight="15" x14ac:dyDescent="0.25"/>
  <cols>
    <col min="1" max="1" width="14.85546875" customWidth="1"/>
    <col min="2" max="3" width="10.140625" bestFit="1" customWidth="1"/>
    <col min="4" max="4" width="24.140625" bestFit="1" customWidth="1"/>
    <col min="5" max="7" width="10.140625" bestFit="1" customWidth="1"/>
  </cols>
  <sheetData>
    <row r="3" spans="1:10" x14ac:dyDescent="0.25">
      <c r="A3" t="s">
        <v>4</v>
      </c>
    </row>
    <row r="4" spans="1:10" x14ac:dyDescent="0.25">
      <c r="A4" t="s">
        <v>0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18</v>
      </c>
      <c r="I4" t="s">
        <v>19</v>
      </c>
      <c r="J4" t="s">
        <v>19</v>
      </c>
    </row>
    <row r="5" spans="1:10" x14ac:dyDescent="0.25">
      <c r="A5" t="s">
        <v>1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32</v>
      </c>
    </row>
    <row r="6" spans="1:10" x14ac:dyDescent="0.25">
      <c r="A6" t="s">
        <v>2</v>
      </c>
      <c r="B6" t="s">
        <v>15</v>
      </c>
      <c r="C6" t="s">
        <v>16</v>
      </c>
      <c r="D6" t="s">
        <v>17</v>
      </c>
      <c r="E6" t="s">
        <v>16</v>
      </c>
      <c r="F6" t="s">
        <v>16</v>
      </c>
      <c r="G6" t="s">
        <v>16</v>
      </c>
      <c r="H6" t="s">
        <v>20</v>
      </c>
      <c r="I6" t="s">
        <v>21</v>
      </c>
      <c r="J6" t="s">
        <v>21</v>
      </c>
    </row>
    <row r="7" spans="1:10" x14ac:dyDescent="0.25">
      <c r="A7" t="s">
        <v>3</v>
      </c>
      <c r="B7">
        <v>30</v>
      </c>
      <c r="C7">
        <v>32</v>
      </c>
      <c r="D7">
        <v>35</v>
      </c>
      <c r="E7">
        <v>12</v>
      </c>
      <c r="F7">
        <v>10</v>
      </c>
      <c r="G7">
        <v>13</v>
      </c>
      <c r="H7">
        <v>0</v>
      </c>
      <c r="I7">
        <v>3</v>
      </c>
      <c r="J7">
        <v>0</v>
      </c>
    </row>
    <row r="15" spans="1:10" x14ac:dyDescent="0.25">
      <c r="A15" t="s">
        <v>23</v>
      </c>
    </row>
    <row r="16" spans="1:10" x14ac:dyDescent="0.25">
      <c r="A16" t="s">
        <v>1</v>
      </c>
      <c r="B16" t="s">
        <v>14</v>
      </c>
      <c r="C16" t="s">
        <v>32</v>
      </c>
    </row>
    <row r="17" spans="1:3" x14ac:dyDescent="0.25">
      <c r="A17" t="s">
        <v>5</v>
      </c>
      <c r="B17">
        <v>2015</v>
      </c>
      <c r="C17">
        <v>2015</v>
      </c>
    </row>
    <row r="18" spans="1:3" x14ac:dyDescent="0.25">
      <c r="A18" t="s">
        <v>6</v>
      </c>
      <c r="B18">
        <v>6</v>
      </c>
      <c r="C18">
        <v>0</v>
      </c>
    </row>
    <row r="19" spans="1:3" x14ac:dyDescent="0.25">
      <c r="A19" t="s">
        <v>7</v>
      </c>
      <c r="B19">
        <f>SUM(B7:G7)</f>
        <v>132</v>
      </c>
      <c r="C19">
        <v>0</v>
      </c>
    </row>
    <row r="22" spans="1:3" x14ac:dyDescent="0.25">
      <c r="A22" t="s">
        <v>22</v>
      </c>
    </row>
    <row r="23" spans="1:3" x14ac:dyDescent="0.25">
      <c r="A23" t="s">
        <v>1</v>
      </c>
      <c r="B23" t="s">
        <v>14</v>
      </c>
      <c r="C23" t="s">
        <v>32</v>
      </c>
    </row>
    <row r="24" spans="1:3" x14ac:dyDescent="0.25">
      <c r="A24" t="s">
        <v>5</v>
      </c>
      <c r="B24">
        <v>2015</v>
      </c>
      <c r="C24">
        <v>2015</v>
      </c>
    </row>
    <row r="25" spans="1:3" x14ac:dyDescent="0.25">
      <c r="A25" t="s">
        <v>24</v>
      </c>
      <c r="B25">
        <f>B19/B18</f>
        <v>22</v>
      </c>
      <c r="C25" t="e">
        <f>0/0</f>
        <v>#DIV/0!</v>
      </c>
    </row>
    <row r="26" spans="1:3" x14ac:dyDescent="0.25">
      <c r="A26" t="s">
        <v>3</v>
      </c>
      <c r="B26">
        <v>132</v>
      </c>
      <c r="C2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AD6D-03C8-42D3-B601-B485E23A06BD}">
  <dimension ref="A2:J41"/>
  <sheetViews>
    <sheetView topLeftCell="A10" workbookViewId="0">
      <selection activeCell="B39" sqref="B39"/>
    </sheetView>
  </sheetViews>
  <sheetFormatPr defaultRowHeight="15" x14ac:dyDescent="0.25"/>
  <cols>
    <col min="1" max="1" width="28.42578125" bestFit="1" customWidth="1"/>
  </cols>
  <sheetData>
    <row r="2" spans="1:10" x14ac:dyDescent="0.25">
      <c r="A2" t="s">
        <v>25</v>
      </c>
    </row>
    <row r="3" spans="1:10" x14ac:dyDescent="0.25">
      <c r="A3" t="s">
        <v>5</v>
      </c>
      <c r="B3">
        <v>2015</v>
      </c>
      <c r="C3">
        <v>2015</v>
      </c>
      <c r="D3">
        <v>2015</v>
      </c>
      <c r="E3">
        <v>2015</v>
      </c>
      <c r="F3">
        <v>2015</v>
      </c>
      <c r="G3">
        <v>2015</v>
      </c>
      <c r="H3">
        <v>2014</v>
      </c>
      <c r="I3">
        <v>2014</v>
      </c>
      <c r="J3">
        <v>2014</v>
      </c>
    </row>
    <row r="4" spans="1:10" x14ac:dyDescent="0.25">
      <c r="A4">
        <f>SUM(B12:G12)</f>
        <v>31481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5008</v>
      </c>
      <c r="C5">
        <v>234</v>
      </c>
      <c r="D5">
        <v>546</v>
      </c>
      <c r="E5">
        <v>865</v>
      </c>
      <c r="F5">
        <v>987</v>
      </c>
      <c r="G5">
        <v>5233</v>
      </c>
      <c r="H5">
        <v>5233</v>
      </c>
      <c r="I5">
        <v>234</v>
      </c>
      <c r="J5">
        <v>123</v>
      </c>
    </row>
    <row r="6" spans="1:10" x14ac:dyDescent="0.25">
      <c r="A6" t="s">
        <v>28</v>
      </c>
      <c r="B6">
        <v>50</v>
      </c>
      <c r="C6">
        <v>12</v>
      </c>
      <c r="D6">
        <v>23</v>
      </c>
      <c r="E6">
        <v>65</v>
      </c>
      <c r="F6">
        <v>0</v>
      </c>
      <c r="G6">
        <v>0</v>
      </c>
      <c r="H6">
        <v>0</v>
      </c>
      <c r="I6">
        <v>0</v>
      </c>
      <c r="J6">
        <v>0</v>
      </c>
    </row>
    <row r="9" spans="1:10" x14ac:dyDescent="0.25">
      <c r="A9" t="s">
        <v>29</v>
      </c>
    </row>
    <row r="10" spans="1:10" x14ac:dyDescent="0.25">
      <c r="A10" t="s">
        <v>5</v>
      </c>
      <c r="B10">
        <v>2015</v>
      </c>
      <c r="C10">
        <v>2015</v>
      </c>
      <c r="D10">
        <v>2015</v>
      </c>
      <c r="E10">
        <v>2015</v>
      </c>
      <c r="F10">
        <v>2015</v>
      </c>
      <c r="G10">
        <v>2015</v>
      </c>
    </row>
    <row r="11" spans="1:10" x14ac:dyDescent="0.25">
      <c r="A11" t="s">
        <v>26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</row>
    <row r="12" spans="1:10" x14ac:dyDescent="0.25">
      <c r="A12" t="s">
        <v>30</v>
      </c>
      <c r="B12">
        <v>6342</v>
      </c>
      <c r="C12">
        <v>6342</v>
      </c>
      <c r="D12">
        <v>6342</v>
      </c>
      <c r="E12">
        <v>8888</v>
      </c>
      <c r="F12">
        <v>2333</v>
      </c>
      <c r="G12">
        <v>1234</v>
      </c>
    </row>
    <row r="13" spans="1:10" x14ac:dyDescent="0.25">
      <c r="A13" t="s">
        <v>31</v>
      </c>
      <c r="B13">
        <v>234</v>
      </c>
      <c r="C13">
        <v>123</v>
      </c>
      <c r="D13">
        <v>43</v>
      </c>
      <c r="E13">
        <v>2134</v>
      </c>
      <c r="F13">
        <v>234</v>
      </c>
      <c r="G13">
        <v>234</v>
      </c>
    </row>
    <row r="17" spans="1:2" x14ac:dyDescent="0.25">
      <c r="A17" t="s">
        <v>33</v>
      </c>
    </row>
    <row r="18" spans="1:2" x14ac:dyDescent="0.25">
      <c r="A18" t="s">
        <v>5</v>
      </c>
      <c r="B18">
        <v>2015</v>
      </c>
    </row>
    <row r="19" spans="1:2" x14ac:dyDescent="0.25">
      <c r="A19" t="s">
        <v>26</v>
      </c>
      <c r="B19" t="s">
        <v>14</v>
      </c>
    </row>
    <row r="20" spans="1:2" x14ac:dyDescent="0.25">
      <c r="A20" t="s">
        <v>27</v>
      </c>
      <c r="B20">
        <f>SUM(B5:G5)</f>
        <v>12873</v>
      </c>
    </row>
    <row r="21" spans="1:2" x14ac:dyDescent="0.25">
      <c r="A21" t="s">
        <v>28</v>
      </c>
      <c r="B21">
        <f>SUM(B6:G6)</f>
        <v>150</v>
      </c>
    </row>
    <row r="22" spans="1:2" x14ac:dyDescent="0.25">
      <c r="A22" t="s">
        <v>40</v>
      </c>
      <c r="B22">
        <f>SUM(H5:J5)</f>
        <v>5590</v>
      </c>
    </row>
    <row r="23" spans="1:2" x14ac:dyDescent="0.25">
      <c r="A23" t="s">
        <v>34</v>
      </c>
      <c r="B23">
        <f>SUM(H6:J6)</f>
        <v>0</v>
      </c>
    </row>
    <row r="27" spans="1:2" x14ac:dyDescent="0.25">
      <c r="A27" t="s">
        <v>35</v>
      </c>
    </row>
    <row r="28" spans="1:2" x14ac:dyDescent="0.25">
      <c r="A28" t="s">
        <v>5</v>
      </c>
      <c r="B28">
        <v>2015</v>
      </c>
    </row>
    <row r="29" spans="1:2" x14ac:dyDescent="0.25">
      <c r="A29" t="s">
        <v>26</v>
      </c>
      <c r="B29" t="s">
        <v>14</v>
      </c>
    </row>
    <row r="30" spans="1:2" x14ac:dyDescent="0.25">
      <c r="A30" t="s">
        <v>30</v>
      </c>
      <c r="B30">
        <f>SUM(B12:G12)</f>
        <v>31481</v>
      </c>
    </row>
    <row r="31" spans="1:2" x14ac:dyDescent="0.25">
      <c r="A31" t="s">
        <v>31</v>
      </c>
      <c r="B31">
        <f>SUM(B13:G13)</f>
        <v>3002</v>
      </c>
    </row>
    <row r="34" spans="1:2" x14ac:dyDescent="0.25">
      <c r="A34" t="s">
        <v>36</v>
      </c>
    </row>
    <row r="35" spans="1:2" x14ac:dyDescent="0.25">
      <c r="A35" t="s">
        <v>5</v>
      </c>
      <c r="B35">
        <v>2015</v>
      </c>
    </row>
    <row r="36" spans="1:2" x14ac:dyDescent="0.25">
      <c r="A36" t="s">
        <v>1</v>
      </c>
      <c r="B36" t="s">
        <v>14</v>
      </c>
    </row>
    <row r="37" spans="1:2" x14ac:dyDescent="0.25">
      <c r="A37" t="s">
        <v>27</v>
      </c>
      <c r="B37">
        <f>B20</f>
        <v>12873</v>
      </c>
    </row>
    <row r="38" spans="1:2" x14ac:dyDescent="0.25">
      <c r="A38" t="s">
        <v>28</v>
      </c>
      <c r="B38">
        <f>B21</f>
        <v>150</v>
      </c>
    </row>
    <row r="39" spans="1:2" x14ac:dyDescent="0.25">
      <c r="A39" t="s">
        <v>37</v>
      </c>
      <c r="B39">
        <f>B31/B30*100</f>
        <v>9.5359105492201639</v>
      </c>
    </row>
    <row r="40" spans="1:2" x14ac:dyDescent="0.25">
      <c r="A40" t="s">
        <v>38</v>
      </c>
      <c r="B40">
        <f>(B20-B22)/B22*100</f>
        <v>130.28622540250447</v>
      </c>
    </row>
    <row r="41" spans="1:2" x14ac:dyDescent="0.25">
      <c r="A41" t="s">
        <v>39</v>
      </c>
      <c r="B41" t="e">
        <f>(B21-B23)/B23*100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F116-78B6-4FA6-97A8-CD42229ABA13}">
  <dimension ref="A1:O37"/>
  <sheetViews>
    <sheetView topLeftCell="A4" workbookViewId="0">
      <selection activeCell="B35" sqref="B35:B37"/>
    </sheetView>
  </sheetViews>
  <sheetFormatPr defaultRowHeight="15" x14ac:dyDescent="0.25"/>
  <cols>
    <col min="1" max="1" width="15.85546875" bestFit="1" customWidth="1"/>
    <col min="2" max="2" width="27" bestFit="1" customWidth="1"/>
  </cols>
  <sheetData>
    <row r="1" spans="1:15" x14ac:dyDescent="0.25">
      <c r="A1" t="s">
        <v>41</v>
      </c>
    </row>
    <row r="2" spans="1:15" x14ac:dyDescent="0.25">
      <c r="A2" t="s">
        <v>42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</row>
    <row r="3" spans="1:15" x14ac:dyDescent="0.25">
      <c r="A3" t="s">
        <v>43</v>
      </c>
      <c r="B3">
        <v>2015</v>
      </c>
      <c r="C3">
        <v>2015</v>
      </c>
      <c r="D3">
        <v>2015</v>
      </c>
      <c r="E3">
        <v>2015</v>
      </c>
      <c r="F3">
        <v>2015</v>
      </c>
      <c r="G3">
        <v>2015</v>
      </c>
      <c r="H3">
        <v>2015</v>
      </c>
      <c r="I3">
        <v>2015</v>
      </c>
      <c r="J3">
        <v>2015</v>
      </c>
      <c r="K3">
        <v>2015</v>
      </c>
      <c r="L3">
        <v>2015</v>
      </c>
      <c r="M3">
        <v>2015</v>
      </c>
      <c r="N3">
        <v>2015</v>
      </c>
      <c r="O3">
        <v>2015</v>
      </c>
    </row>
    <row r="4" spans="1:15" x14ac:dyDescent="0.25">
      <c r="A4" t="s">
        <v>44</v>
      </c>
      <c r="B4">
        <v>10</v>
      </c>
      <c r="C4">
        <v>10</v>
      </c>
      <c r="D4">
        <v>10</v>
      </c>
      <c r="E4">
        <v>27</v>
      </c>
      <c r="F4">
        <v>27</v>
      </c>
      <c r="G4">
        <v>27</v>
      </c>
      <c r="H4">
        <v>93</v>
      </c>
      <c r="I4">
        <v>93</v>
      </c>
      <c r="J4">
        <v>93</v>
      </c>
      <c r="K4">
        <v>15</v>
      </c>
      <c r="L4">
        <v>16</v>
      </c>
      <c r="M4">
        <v>17</v>
      </c>
      <c r="N4">
        <v>18</v>
      </c>
      <c r="O4">
        <v>19</v>
      </c>
    </row>
    <row r="5" spans="1:15" x14ac:dyDescent="0.25">
      <c r="A5" t="s">
        <v>45</v>
      </c>
      <c r="B5">
        <v>93.32</v>
      </c>
      <c r="C5">
        <v>23.23</v>
      </c>
      <c r="D5">
        <v>65.23</v>
      </c>
      <c r="E5">
        <v>877.23</v>
      </c>
      <c r="F5">
        <v>787.89</v>
      </c>
      <c r="G5">
        <v>65.650000000000006</v>
      </c>
      <c r="H5">
        <v>34.43</v>
      </c>
      <c r="I5">
        <v>876.43</v>
      </c>
      <c r="J5">
        <v>28.65</v>
      </c>
      <c r="K5">
        <v>87.87</v>
      </c>
      <c r="L5">
        <v>723672.32</v>
      </c>
      <c r="M5">
        <v>32.32</v>
      </c>
      <c r="N5">
        <v>42.42</v>
      </c>
      <c r="O5">
        <v>42.42</v>
      </c>
    </row>
    <row r="7" spans="1:15" x14ac:dyDescent="0.25">
      <c r="A7" t="s">
        <v>46</v>
      </c>
    </row>
    <row r="8" spans="1:15" x14ac:dyDescent="0.25">
      <c r="A8" t="s">
        <v>42</v>
      </c>
      <c r="B8" t="s">
        <v>14</v>
      </c>
    </row>
    <row r="9" spans="1:15" x14ac:dyDescent="0.25">
      <c r="A9" t="s">
        <v>43</v>
      </c>
      <c r="B9">
        <v>2015</v>
      </c>
    </row>
    <row r="10" spans="1:15" x14ac:dyDescent="0.25">
      <c r="A10" t="s">
        <v>47</v>
      </c>
      <c r="B10">
        <f>SUM(B5:O5)</f>
        <v>726729.41</v>
      </c>
    </row>
    <row r="11" spans="1:15" x14ac:dyDescent="0.25">
      <c r="A11" t="s">
        <v>48</v>
      </c>
      <c r="B11">
        <f>SUM(E5:G5)</f>
        <v>1730.77</v>
      </c>
    </row>
    <row r="12" spans="1:15" x14ac:dyDescent="0.25">
      <c r="A12" t="s">
        <v>49</v>
      </c>
      <c r="B12">
        <f>SUM(B5:D5)</f>
        <v>181.78</v>
      </c>
    </row>
    <row r="13" spans="1:15" x14ac:dyDescent="0.25">
      <c r="A13" t="s">
        <v>50</v>
      </c>
      <c r="B13">
        <f>SUM(H5:J5)</f>
        <v>939.50999999999988</v>
      </c>
    </row>
    <row r="15" spans="1:15" x14ac:dyDescent="0.25">
      <c r="A15" t="s">
        <v>51</v>
      </c>
    </row>
    <row r="16" spans="1:15" x14ac:dyDescent="0.25">
      <c r="A16" t="s">
        <v>1</v>
      </c>
      <c r="B16" t="s">
        <v>14</v>
      </c>
    </row>
    <row r="17" spans="1:2" x14ac:dyDescent="0.25">
      <c r="A17" t="s">
        <v>5</v>
      </c>
      <c r="B17">
        <v>2015</v>
      </c>
    </row>
    <row r="18" spans="1:2" x14ac:dyDescent="0.25">
      <c r="A18" t="s">
        <v>52</v>
      </c>
      <c r="B18">
        <f>B11/B10</f>
        <v>2.3815879420649839E-3</v>
      </c>
    </row>
    <row r="19" spans="1:2" x14ac:dyDescent="0.25">
      <c r="A19" t="s">
        <v>53</v>
      </c>
      <c r="B19">
        <f>B12/B10</f>
        <v>2.5013436569190173E-4</v>
      </c>
    </row>
    <row r="20" spans="1:2" x14ac:dyDescent="0.25">
      <c r="A20" t="s">
        <v>54</v>
      </c>
      <c r="B20">
        <f>B13/B10</f>
        <v>1.2927920448410088E-3</v>
      </c>
    </row>
    <row r="22" spans="1:2" x14ac:dyDescent="0.25">
      <c r="A22" t="s">
        <v>55</v>
      </c>
    </row>
    <row r="23" spans="1:2" x14ac:dyDescent="0.25">
      <c r="A23" t="s">
        <v>1</v>
      </c>
      <c r="B23" t="s">
        <v>14</v>
      </c>
    </row>
    <row r="24" spans="1:2" x14ac:dyDescent="0.25">
      <c r="A24" t="s">
        <v>5</v>
      </c>
      <c r="B24">
        <v>2015</v>
      </c>
    </row>
    <row r="25" spans="1:2" x14ac:dyDescent="0.25">
      <c r="A25" t="s">
        <v>52</v>
      </c>
      <c r="B25">
        <v>2.3815879420649839E-3</v>
      </c>
    </row>
    <row r="26" spans="1:2" x14ac:dyDescent="0.25">
      <c r="A26" t="s">
        <v>53</v>
      </c>
      <c r="B26">
        <v>2.5013436569190173E-4</v>
      </c>
    </row>
    <row r="27" spans="1:2" x14ac:dyDescent="0.25">
      <c r="A27" t="s">
        <v>54</v>
      </c>
      <c r="B27">
        <v>1.2927920448410088E-3</v>
      </c>
    </row>
    <row r="29" spans="1:2" x14ac:dyDescent="0.25">
      <c r="A29" t="s">
        <v>56</v>
      </c>
    </row>
    <row r="30" spans="1:2" x14ac:dyDescent="0.25">
      <c r="A30" t="s">
        <v>1</v>
      </c>
      <c r="B30" t="s">
        <v>14</v>
      </c>
    </row>
    <row r="31" spans="1:2" x14ac:dyDescent="0.25">
      <c r="A31" t="s">
        <v>5</v>
      </c>
      <c r="B31">
        <v>2015</v>
      </c>
    </row>
    <row r="32" spans="1:2" x14ac:dyDescent="0.25">
      <c r="A32" t="s">
        <v>52</v>
      </c>
      <c r="B32">
        <v>2.38158794206498E-3</v>
      </c>
    </row>
    <row r="33" spans="1:2" x14ac:dyDescent="0.25">
      <c r="A33" t="s">
        <v>53</v>
      </c>
      <c r="B33">
        <v>2.5013436569190173E-4</v>
      </c>
    </row>
    <row r="34" spans="1:2" x14ac:dyDescent="0.25">
      <c r="A34" t="s">
        <v>54</v>
      </c>
      <c r="B34">
        <v>1.2927920448410088E-3</v>
      </c>
    </row>
    <row r="35" spans="1:2" x14ac:dyDescent="0.25">
      <c r="A35" t="s">
        <v>57</v>
      </c>
      <c r="B35" t="s">
        <v>60</v>
      </c>
    </row>
    <row r="36" spans="1:2" x14ac:dyDescent="0.25">
      <c r="A36" t="s">
        <v>58</v>
      </c>
      <c r="B36" t="s">
        <v>60</v>
      </c>
    </row>
    <row r="37" spans="1:2" x14ac:dyDescent="0.25">
      <c r="A37" t="s">
        <v>59</v>
      </c>
      <c r="B3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032C-B73F-4A17-A389-0F18FEB7C483}">
  <dimension ref="A1:B15"/>
  <sheetViews>
    <sheetView tabSelected="1" workbookViewId="0">
      <selection activeCell="E14" sqref="E14"/>
    </sheetView>
  </sheetViews>
  <sheetFormatPr defaultRowHeight="15" x14ac:dyDescent="0.25"/>
  <cols>
    <col min="1" max="1" width="24.85546875" bestFit="1" customWidth="1"/>
    <col min="2" max="2" width="27" bestFit="1" customWidth="1"/>
  </cols>
  <sheetData>
    <row r="1" spans="1:2" x14ac:dyDescent="0.25">
      <c r="A1" t="s">
        <v>1</v>
      </c>
      <c r="B1" t="s">
        <v>14</v>
      </c>
    </row>
    <row r="2" spans="1:2" x14ac:dyDescent="0.25">
      <c r="A2" t="s">
        <v>5</v>
      </c>
      <c r="B2">
        <v>2015</v>
      </c>
    </row>
    <row r="3" spans="1:2" x14ac:dyDescent="0.25">
      <c r="A3" t="s">
        <v>61</v>
      </c>
      <c r="B3">
        <v>1</v>
      </c>
    </row>
    <row r="4" spans="1:2" x14ac:dyDescent="0.25">
      <c r="A4" t="s">
        <v>52</v>
      </c>
      <c r="B4">
        <v>2.3815879420649839E-3</v>
      </c>
    </row>
    <row r="5" spans="1:2" x14ac:dyDescent="0.25">
      <c r="A5" t="s">
        <v>53</v>
      </c>
      <c r="B5">
        <v>2.5013436569190173E-4</v>
      </c>
    </row>
    <row r="6" spans="1:2" x14ac:dyDescent="0.25">
      <c r="A6" t="s">
        <v>54</v>
      </c>
      <c r="B6">
        <v>1.2927920448410088E-3</v>
      </c>
    </row>
    <row r="7" spans="1:2" x14ac:dyDescent="0.25">
      <c r="A7" s="1" t="s">
        <v>62</v>
      </c>
      <c r="B7" t="s">
        <v>60</v>
      </c>
    </row>
    <row r="8" spans="1:2" x14ac:dyDescent="0.25">
      <c r="A8" s="1" t="s">
        <v>63</v>
      </c>
      <c r="B8" t="s">
        <v>60</v>
      </c>
    </row>
    <row r="9" spans="1:2" x14ac:dyDescent="0.25">
      <c r="A9" s="1" t="s">
        <v>64</v>
      </c>
      <c r="B9" t="s">
        <v>60</v>
      </c>
    </row>
    <row r="10" spans="1:2" x14ac:dyDescent="0.25">
      <c r="A10" s="1" t="s">
        <v>27</v>
      </c>
      <c r="B10">
        <v>12873</v>
      </c>
    </row>
    <row r="11" spans="1:2" x14ac:dyDescent="0.25">
      <c r="A11" s="1" t="s">
        <v>38</v>
      </c>
      <c r="B11">
        <v>130.28622540250447</v>
      </c>
    </row>
    <row r="12" spans="1:2" x14ac:dyDescent="0.25">
      <c r="A12" s="1" t="s">
        <v>28</v>
      </c>
      <c r="B12">
        <v>150</v>
      </c>
    </row>
    <row r="13" spans="1:2" x14ac:dyDescent="0.25">
      <c r="A13" s="1" t="s">
        <v>39</v>
      </c>
      <c r="B13" t="e">
        <v>#DIV/0!</v>
      </c>
    </row>
    <row r="14" spans="1:2" x14ac:dyDescent="0.25">
      <c r="A14" s="1" t="s">
        <v>37</v>
      </c>
      <c r="B14">
        <v>9.5359105492201639</v>
      </c>
    </row>
    <row r="15" spans="1:2" x14ac:dyDescent="0.25">
      <c r="A15" s="1" t="s">
        <v>3</v>
      </c>
      <c r="B15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ACLED</vt:lpstr>
      <vt:lpstr>UNHCR</vt:lpstr>
      <vt:lpstr>UN_COMTRADE</vt:lpstr>
      <vt:lpstr>wynikowe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Przemek Tomala</dc:creator>
  <cp:lastModifiedBy>Przemek Tomala</cp:lastModifiedBy>
  <dcterms:created xsi:type="dcterms:W3CDTF">2026-03-31T15:23:44Z</dcterms:created>
  <dcterms:modified xsi:type="dcterms:W3CDTF">2026-04-10T12:41:28Z</dcterms:modified>
</cp:coreProperties>
</file>